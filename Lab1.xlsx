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:\My Drive\Fisk University\2026\CSCI312\Yu\Lab1\"/>
    </mc:Choice>
  </mc:AlternateContent>
  <xr:revisionPtr revIDLastSave="0" documentId="8_{48BAFB17-09A2-492C-82DE-EC1F9ED0BC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_Raw" sheetId="1" r:id="rId1"/>
    <sheet name="Customers" sheetId="2" r:id="rId2"/>
    <sheet name="Produ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6" i="1"/>
  <c r="L6" i="1"/>
  <c r="L2" i="1"/>
  <c r="L4" i="1"/>
  <c r="L17" i="1"/>
  <c r="L8" i="1"/>
  <c r="L14" i="1"/>
  <c r="L5" i="1"/>
  <c r="L7" i="1"/>
  <c r="L9" i="1"/>
  <c r="L3" i="1"/>
  <c r="L11" i="1"/>
  <c r="L12" i="1"/>
  <c r="L10" i="1"/>
  <c r="L15" i="1"/>
  <c r="N15" i="1"/>
  <c r="M15" i="1"/>
  <c r="N10" i="1"/>
  <c r="M10" i="1"/>
  <c r="N12" i="1"/>
  <c r="M12" i="1"/>
  <c r="N11" i="1"/>
  <c r="M11" i="1"/>
  <c r="N3" i="1"/>
  <c r="M3" i="1"/>
  <c r="N9" i="1"/>
  <c r="M9" i="1"/>
  <c r="N7" i="1"/>
  <c r="M7" i="1"/>
  <c r="N5" i="1"/>
  <c r="M5" i="1"/>
  <c r="N14" i="1"/>
  <c r="M14" i="1"/>
  <c r="N8" i="1"/>
  <c r="M8" i="1"/>
  <c r="N17" i="1"/>
  <c r="M17" i="1"/>
  <c r="N4" i="1"/>
  <c r="M4" i="1"/>
  <c r="N2" i="1"/>
  <c r="M2" i="1"/>
  <c r="N6" i="1"/>
  <c r="M6" i="1"/>
  <c r="N16" i="1"/>
  <c r="M16" i="1"/>
  <c r="N13" i="1"/>
  <c r="M13" i="1"/>
</calcChain>
</file>

<file path=xl/sharedStrings.xml><?xml version="1.0" encoding="utf-8"?>
<sst xmlns="http://schemas.openxmlformats.org/spreadsheetml/2006/main" count="215" uniqueCount="90">
  <si>
    <t>OrderID</t>
  </si>
  <si>
    <t>OrderDate</t>
  </si>
  <si>
    <t>CustomerName</t>
  </si>
  <si>
    <t>CustomerEmail</t>
  </si>
  <si>
    <t>CustomerPhone</t>
  </si>
  <si>
    <t>Product</t>
  </si>
  <si>
    <t>Category</t>
  </si>
  <si>
    <t>UnitPrice</t>
  </si>
  <si>
    <t>Quantity</t>
  </si>
  <si>
    <t>SalesRep</t>
  </si>
  <si>
    <t>Region</t>
  </si>
  <si>
    <t>TotalAmount</t>
  </si>
  <si>
    <t>CustomerID</t>
  </si>
  <si>
    <t>ProductID</t>
  </si>
  <si>
    <t>O1001</t>
  </si>
  <si>
    <t>2026-01-08</t>
  </si>
  <si>
    <t>John Lee</t>
  </si>
  <si>
    <t>john.lee@example.com</t>
  </si>
  <si>
    <t>615-555-0101</t>
  </si>
  <si>
    <t>USB-C Cable</t>
  </si>
  <si>
    <t>Accessories</t>
  </si>
  <si>
    <t>John</t>
  </si>
  <si>
    <t>North</t>
  </si>
  <si>
    <t>O1002</t>
  </si>
  <si>
    <t>2026-01-09</t>
  </si>
  <si>
    <t>Ava Chen</t>
  </si>
  <si>
    <t>ava.chen@example.com</t>
  </si>
  <si>
    <t>615-555-0133</t>
  </si>
  <si>
    <t>Wireless Mouse</t>
  </si>
  <si>
    <t>Mia</t>
  </si>
  <si>
    <t>South</t>
  </si>
  <si>
    <t>O1003</t>
  </si>
  <si>
    <t>Laptop Stand</t>
  </si>
  <si>
    <t>O1004</t>
  </si>
  <si>
    <t>2026-01-10</t>
  </si>
  <si>
    <t>Noah Patel</t>
  </si>
  <si>
    <t>noah.patel@example.com</t>
  </si>
  <si>
    <t>615-555-0188</t>
  </si>
  <si>
    <t>HDMI Adapter</t>
  </si>
  <si>
    <t>Zoe</t>
  </si>
  <si>
    <t>East</t>
  </si>
  <si>
    <t>O1005</t>
  </si>
  <si>
    <t>Keyboard</t>
  </si>
  <si>
    <t>O1006</t>
  </si>
  <si>
    <t>2026-01-11</t>
  </si>
  <si>
    <t>Liam Brown</t>
  </si>
  <si>
    <t>liam.brown@example.com</t>
  </si>
  <si>
    <t>615-555-0145</t>
  </si>
  <si>
    <t>West</t>
  </si>
  <si>
    <t>O1007</t>
  </si>
  <si>
    <t>Sophia Davis</t>
  </si>
  <si>
    <t>sophia.davis@example.com</t>
  </si>
  <si>
    <t>615-555-0199</t>
  </si>
  <si>
    <t>Monitor 24in</t>
  </si>
  <si>
    <t>Hardware</t>
  </si>
  <si>
    <t>O1008</t>
  </si>
  <si>
    <t>2026-01-12</t>
  </si>
  <si>
    <t>Emma Wilson</t>
  </si>
  <si>
    <t>emma.wilson@example.com</t>
  </si>
  <si>
    <t>615-555-0112</t>
  </si>
  <si>
    <t>O1009</t>
  </si>
  <si>
    <t>615-555-0107</t>
  </si>
  <si>
    <t>O1010</t>
  </si>
  <si>
    <t>Olivia Martin</t>
  </si>
  <si>
    <t>olivia.martin@example.com</t>
  </si>
  <si>
    <t>615-555-0166</t>
  </si>
  <si>
    <t>O1011</t>
  </si>
  <si>
    <t>2026-01-13</t>
  </si>
  <si>
    <t>O1012</t>
  </si>
  <si>
    <t>O1013</t>
  </si>
  <si>
    <t>2026-01-14</t>
  </si>
  <si>
    <t>USB Hub</t>
  </si>
  <si>
    <t>O1014</t>
  </si>
  <si>
    <t>O1015</t>
  </si>
  <si>
    <t>2026-01-15</t>
  </si>
  <si>
    <t>O1016</t>
  </si>
  <si>
    <t>C001</t>
  </si>
  <si>
    <t>C002</t>
  </si>
  <si>
    <t>C003</t>
  </si>
  <si>
    <t>C004</t>
  </si>
  <si>
    <t>C005</t>
  </si>
  <si>
    <t>C006</t>
  </si>
  <si>
    <t>C007</t>
  </si>
  <si>
    <t>P001</t>
  </si>
  <si>
    <t>P002</t>
  </si>
  <si>
    <t>P003</t>
  </si>
  <si>
    <t>P004</t>
  </si>
  <si>
    <t>P005</t>
  </si>
  <si>
    <t>P006</t>
  </si>
  <si>
    <t>P007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</si>
</sst>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RawTable" displayName="OrdersRawTable" ref="A1:N17">
  <autoFilter ref="A1:N17" xr:uid="{00000000-0009-0000-0100-000001000000}"/>
  <sortState xmlns:xlrd2="http://schemas.microsoft.com/office/spreadsheetml/2017/richdata2" ref="A2:N17">
    <sortCondition ref="F1:F17"/>
  </sortState>
  <tableColumns count="14">
    <tableColumn id="1" xr3:uid="{00000000-0010-0000-0000-000001000000}" name="OrderID"/>
    <tableColumn id="2" xr3:uid="{00000000-0010-0000-0000-000002000000}" name="OrderDate"/>
    <tableColumn id="3" xr3:uid="{00000000-0010-0000-0000-000003000000}" name="CustomerName"/>
    <tableColumn id="4" xr3:uid="{00000000-0010-0000-0000-000004000000}" name="CustomerEmail"/>
    <tableColumn id="5" xr3:uid="{00000000-0010-0000-0000-000005000000}" name="CustomerPhone"/>
    <tableColumn id="6" xr3:uid="{00000000-0010-0000-0000-000006000000}" name="Product"/>
    <tableColumn id="7" xr3:uid="{00000000-0010-0000-0000-000007000000}" name="Category"/>
    <tableColumn id="8" xr3:uid="{00000000-0010-0000-0000-000008000000}" name="UnitPrice"/>
    <tableColumn id="9" xr3:uid="{00000000-0010-0000-0000-000009000000}" name="Quantity"/>
    <tableColumn id="10" xr3:uid="{00000000-0010-0000-0000-00000A000000}" name="SalesRep"/>
    <tableColumn id="11" xr3:uid="{00000000-0010-0000-0000-00000B000000}" name="Region"/>
    <tableColumn id="12" xr3:uid="{00000000-0010-0000-0000-00000C000000}" name="TotalAmount"/>
    <tableColumn id="13" xr3:uid="{00000000-0010-0000-0000-00000D000000}" name="CustomerID"/>
    <tableColumn id="14" xr3:uid="{00000000-0010-0000-0000-00000E000000}" name="Product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Table" displayName="CustomersTable" ref="A1:D8">
  <autoFilter ref="A1:D8" xr:uid="{00000000-0009-0000-0100-000002000000}"/>
  <tableColumns count="4">
    <tableColumn id="1" xr3:uid="{00000000-0010-0000-0100-000001000000}" name="CustomerID"/>
    <tableColumn id="2" xr3:uid="{00000000-0010-0000-0100-000002000000}" name="CustomerName"/>
    <tableColumn id="3" xr3:uid="{00000000-0010-0000-0100-000003000000}" name="CustomerEmail"/>
    <tableColumn id="4" xr3:uid="{00000000-0010-0000-0100-000004000000}" name="CustomerPh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sTable" displayName="ProductsTable" ref="A1:D8">
  <autoFilter ref="A1:D8" xr:uid="{00000000-0009-0000-0100-000003000000}"/>
  <tableColumns count="4">
    <tableColumn id="1" xr3:uid="{00000000-0010-0000-0200-000001000000}" name="ProductID"/>
    <tableColumn id="2" xr3:uid="{00000000-0010-0000-0200-000002000000}" name="Product"/>
    <tableColumn id="3" xr3:uid="{00000000-0010-0000-0200-000003000000}" name="Category"/>
    <tableColumn id="4" xr3:uid="{00000000-0010-0000-0200-000004000000}" name="Unit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1" width="10" customWidth="1"/>
    <col min="2" max="2" width="12" customWidth="1"/>
    <col min="3" max="3" width="16" customWidth="1"/>
    <col min="4" max="4" width="26" customWidth="1"/>
    <col min="5" max="5" width="16" customWidth="1"/>
    <col min="6" max="6" width="18" customWidth="1"/>
    <col min="7" max="7" width="14" customWidth="1"/>
    <col min="8" max="8" width="10" customWidth="1"/>
    <col min="9" max="9" width="9" customWidth="1"/>
    <col min="10" max="10" width="12" customWidth="1"/>
    <col min="11" max="11" width="10" customWidth="1"/>
    <col min="12" max="12" width="12" customWidth="1"/>
    <col min="13" max="13" width="17.28515625" customWidth="1"/>
    <col min="14" max="14" width="15.570312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20</v>
      </c>
      <c r="H2" s="3">
        <v>18.5</v>
      </c>
      <c r="I2" s="2">
        <v>3</v>
      </c>
      <c r="J2" s="2" t="s">
        <v>39</v>
      </c>
      <c r="K2" s="2" t="s">
        <v>40</v>
      </c>
      <c r="L2" s="3">
        <f>H2*I2</f>
        <v>55.5</v>
      </c>
      <c r="M2" s="2" t="str">
        <f ca="1">IFERROR(_xludf.XLOOKUP(D2,Customers!$C:$C,Customers!$A:$A),"Not Found")</f>
        <v>Not Found</v>
      </c>
      <c r="N2" s="2" t="str">
        <f ca="1">IFERROR(_xludf.XLOOKUP(F2,Products!$B:$B,Products!$A:$A),"Not Found")</f>
        <v>Not Found</v>
      </c>
    </row>
    <row r="3" spans="1:14" x14ac:dyDescent="0.25">
      <c r="A3" s="2" t="s">
        <v>68</v>
      </c>
      <c r="B3" s="2" t="s">
        <v>67</v>
      </c>
      <c r="C3" s="2" t="s">
        <v>45</v>
      </c>
      <c r="D3" s="2" t="s">
        <v>46</v>
      </c>
      <c r="E3" s="2" t="s">
        <v>47</v>
      </c>
      <c r="F3" s="2" t="s">
        <v>38</v>
      </c>
      <c r="G3" s="2" t="s">
        <v>20</v>
      </c>
      <c r="H3" s="3">
        <v>18.5</v>
      </c>
      <c r="I3" s="2">
        <v>2</v>
      </c>
      <c r="J3" s="2" t="s">
        <v>21</v>
      </c>
      <c r="K3" s="2" t="s">
        <v>48</v>
      </c>
      <c r="L3" s="3">
        <f>H3*I3</f>
        <v>37</v>
      </c>
      <c r="M3" s="2" t="str">
        <f ca="1">IFERROR(_xludf.XLOOKUP(D3,Customers!$C:$C,Customers!$A:$A),"Not Found")</f>
        <v>Not Found</v>
      </c>
      <c r="N3" s="2" t="str">
        <f ca="1">IFERROR(_xludf.XLOOKUP(F3,Products!$B:$B,Products!$A:$A),"Not Found")</f>
        <v>Not Found</v>
      </c>
    </row>
    <row r="4" spans="1:14" x14ac:dyDescent="0.25">
      <c r="A4" s="2" t="s">
        <v>41</v>
      </c>
      <c r="B4" s="2" t="s">
        <v>34</v>
      </c>
      <c r="C4" s="2" t="s">
        <v>25</v>
      </c>
      <c r="D4" s="2" t="s">
        <v>26</v>
      </c>
      <c r="E4" s="2" t="s">
        <v>27</v>
      </c>
      <c r="F4" s="2" t="s">
        <v>42</v>
      </c>
      <c r="G4" s="2" t="s">
        <v>20</v>
      </c>
      <c r="H4" s="3">
        <v>49.99</v>
      </c>
      <c r="I4" s="2">
        <v>1</v>
      </c>
      <c r="J4" s="2" t="s">
        <v>29</v>
      </c>
      <c r="K4" s="2" t="s">
        <v>30</v>
      </c>
      <c r="L4" s="3">
        <f>H4*I4</f>
        <v>49.99</v>
      </c>
      <c r="M4" s="2" t="str">
        <f ca="1">IFERROR(_xludf.XLOOKUP(D4,Customers!$C:$C,Customers!$A:$A),"Not Found")</f>
        <v>Not Found</v>
      </c>
      <c r="N4" s="2" t="str">
        <f ca="1">IFERROR(_xludf.XLOOKUP(F4,Products!$B:$B,Products!$A:$A),"Not Found")</f>
        <v>Not Found</v>
      </c>
    </row>
    <row r="5" spans="1:14" x14ac:dyDescent="0.25">
      <c r="A5" s="2" t="s">
        <v>60</v>
      </c>
      <c r="B5" s="2" t="s">
        <v>56</v>
      </c>
      <c r="C5" s="2" t="s">
        <v>16</v>
      </c>
      <c r="D5" s="2" t="s">
        <v>17</v>
      </c>
      <c r="E5" s="2" t="s">
        <v>61</v>
      </c>
      <c r="F5" s="2" t="s">
        <v>42</v>
      </c>
      <c r="G5" s="2" t="s">
        <v>20</v>
      </c>
      <c r="H5" s="3">
        <v>49.99</v>
      </c>
      <c r="I5" s="2">
        <v>2</v>
      </c>
      <c r="J5" s="2" t="s">
        <v>29</v>
      </c>
      <c r="K5" s="2" t="s">
        <v>40</v>
      </c>
      <c r="L5" s="3">
        <f>H5*I5</f>
        <v>99.98</v>
      </c>
      <c r="M5" s="2" t="str">
        <f ca="1">IFERROR(_xludf.XLOOKUP(D5,Customers!$C:$C,Customers!$A:$A),"Not Found")</f>
        <v>Not Found</v>
      </c>
      <c r="N5" s="2" t="str">
        <f ca="1">IFERROR(_xludf.XLOOKUP(F5,Products!$B:$B,Products!$A:$A),"Not Found")</f>
        <v>Not Found</v>
      </c>
    </row>
    <row r="6" spans="1:14" x14ac:dyDescent="0.25">
      <c r="A6" s="2" t="s">
        <v>31</v>
      </c>
      <c r="B6" s="2" t="s">
        <v>24</v>
      </c>
      <c r="C6" s="2" t="s">
        <v>16</v>
      </c>
      <c r="D6" s="2" t="s">
        <v>17</v>
      </c>
      <c r="E6" s="2" t="s">
        <v>18</v>
      </c>
      <c r="F6" s="2" t="s">
        <v>32</v>
      </c>
      <c r="G6" s="2" t="s">
        <v>20</v>
      </c>
      <c r="H6" s="3">
        <v>39.99</v>
      </c>
      <c r="I6" s="2">
        <v>1</v>
      </c>
      <c r="J6" s="2" t="s">
        <v>21</v>
      </c>
      <c r="K6" s="2" t="s">
        <v>22</v>
      </c>
      <c r="L6" s="3">
        <f>H6*I6</f>
        <v>39.99</v>
      </c>
      <c r="M6" s="2" t="str">
        <f ca="1">IFERROR(_xludf.XLOOKUP(D6,Customers!$C:$C,Customers!$A:$A),"Not Found")</f>
        <v>Not Found</v>
      </c>
      <c r="N6" s="2" t="str">
        <f ca="1">IFERROR(_xludf.XLOOKUP(F6,Products!$B:$B,Products!$A:$A),"Not Found")</f>
        <v>Not Found</v>
      </c>
    </row>
    <row r="7" spans="1:14" ht="30" x14ac:dyDescent="0.25">
      <c r="A7" s="2" t="s">
        <v>62</v>
      </c>
      <c r="B7" s="2" t="s">
        <v>56</v>
      </c>
      <c r="C7" s="2" t="s">
        <v>63</v>
      </c>
      <c r="D7" s="2" t="s">
        <v>64</v>
      </c>
      <c r="E7" s="2" t="s">
        <v>65</v>
      </c>
      <c r="F7" s="2" t="s">
        <v>32</v>
      </c>
      <c r="G7" s="2" t="s">
        <v>20</v>
      </c>
      <c r="H7" s="3">
        <v>39.99</v>
      </c>
      <c r="I7" s="2">
        <v>2</v>
      </c>
      <c r="J7" s="2" t="s">
        <v>21</v>
      </c>
      <c r="K7" s="2" t="s">
        <v>30</v>
      </c>
      <c r="L7" s="3">
        <f>H7*I7</f>
        <v>79.98</v>
      </c>
      <c r="M7" s="2" t="str">
        <f ca="1">IFERROR(_xludf.XLOOKUP(D7,Customers!$C:$C,Customers!$A:$A),"Not Found")</f>
        <v>Not Found</v>
      </c>
      <c r="N7" s="2" t="str">
        <f ca="1">IFERROR(_xludf.XLOOKUP(F7,Products!$B:$B,Products!$A:$A),"Not Found")</f>
        <v>Not Found</v>
      </c>
    </row>
    <row r="8" spans="1:14" ht="30" x14ac:dyDescent="0.25">
      <c r="A8" s="2" t="s">
        <v>49</v>
      </c>
      <c r="B8" s="2" t="s">
        <v>44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3">
        <v>149.99</v>
      </c>
      <c r="I8" s="2">
        <v>1</v>
      </c>
      <c r="J8" s="2" t="s">
        <v>39</v>
      </c>
      <c r="K8" s="2" t="s">
        <v>22</v>
      </c>
      <c r="L8" s="3">
        <f>H8*I8</f>
        <v>149.99</v>
      </c>
      <c r="M8" s="2" t="str">
        <f ca="1">IFERROR(_xludf.XLOOKUP(D8,Customers!$C:$C,Customers!$A:$A),"Not Found")</f>
        <v>Not Found</v>
      </c>
      <c r="N8" s="2" t="str">
        <f ca="1">IFERROR(_xludf.XLOOKUP(F8,Products!$B:$B,Products!$A:$A),"Not Found")</f>
        <v>Not Found</v>
      </c>
    </row>
    <row r="9" spans="1:14" x14ac:dyDescent="0.25">
      <c r="A9" s="2" t="s">
        <v>66</v>
      </c>
      <c r="B9" s="2" t="s">
        <v>67</v>
      </c>
      <c r="C9" s="2" t="s">
        <v>35</v>
      </c>
      <c r="D9" s="2" t="s">
        <v>36</v>
      </c>
      <c r="E9" s="2" t="s">
        <v>37</v>
      </c>
      <c r="F9" s="2" t="s">
        <v>53</v>
      </c>
      <c r="G9" s="2" t="s">
        <v>54</v>
      </c>
      <c r="H9" s="3">
        <v>149.99</v>
      </c>
      <c r="I9" s="2">
        <v>1</v>
      </c>
      <c r="J9" s="2" t="s">
        <v>39</v>
      </c>
      <c r="K9" s="2" t="s">
        <v>40</v>
      </c>
      <c r="L9" s="3">
        <f>H9*I9</f>
        <v>149.99</v>
      </c>
      <c r="M9" s="2" t="str">
        <f ca="1">IFERROR(_xludf.XLOOKUP(D9,Customers!$C:$C,Customers!$A:$A),"Not Found")</f>
        <v>Not Found</v>
      </c>
      <c r="N9" s="2" t="str">
        <f ca="1">IFERROR(_xludf.XLOOKUP(F9,Products!$B:$B,Products!$A:$A),"Not Found")</f>
        <v>Not Found</v>
      </c>
    </row>
    <row r="10" spans="1:14" ht="30" x14ac:dyDescent="0.25">
      <c r="A10" s="2" t="s">
        <v>73</v>
      </c>
      <c r="B10" s="2" t="s">
        <v>74</v>
      </c>
      <c r="C10" s="2" t="s">
        <v>63</v>
      </c>
      <c r="D10" s="2" t="s">
        <v>64</v>
      </c>
      <c r="E10" s="2" t="s">
        <v>65</v>
      </c>
      <c r="F10" s="2" t="s">
        <v>53</v>
      </c>
      <c r="G10" s="2" t="s">
        <v>54</v>
      </c>
      <c r="H10" s="3">
        <v>149.99</v>
      </c>
      <c r="I10" s="2">
        <v>2</v>
      </c>
      <c r="J10" s="2" t="s">
        <v>39</v>
      </c>
      <c r="K10" s="2" t="s">
        <v>30</v>
      </c>
      <c r="L10" s="3">
        <f>H10*I10</f>
        <v>299.98</v>
      </c>
      <c r="M10" s="2" t="str">
        <f ca="1">IFERROR(_xludf.XLOOKUP(D10,Customers!$C:$C,Customers!$A:$A),"Not Found")</f>
        <v>Not Found</v>
      </c>
      <c r="N10" s="2" t="str">
        <f ca="1">IFERROR(_xludf.XLOOKUP(F10,Products!$B:$B,Products!$A:$A),"Not Found")</f>
        <v>Not Found</v>
      </c>
    </row>
    <row r="11" spans="1:14" ht="30" x14ac:dyDescent="0.25">
      <c r="A11" s="2" t="s">
        <v>69</v>
      </c>
      <c r="B11" s="2" t="s">
        <v>70</v>
      </c>
      <c r="C11" s="2" t="s">
        <v>50</v>
      </c>
      <c r="D11" s="2" t="s">
        <v>51</v>
      </c>
      <c r="E11" s="2" t="s">
        <v>52</v>
      </c>
      <c r="F11" s="2" t="s">
        <v>71</v>
      </c>
      <c r="G11" s="2" t="s">
        <v>20</v>
      </c>
      <c r="H11" s="3">
        <v>29.99</v>
      </c>
      <c r="I11" s="2">
        <v>1</v>
      </c>
      <c r="J11" s="2" t="s">
        <v>29</v>
      </c>
      <c r="K11" s="2" t="s">
        <v>22</v>
      </c>
      <c r="L11" s="3">
        <f>H11*I11</f>
        <v>29.99</v>
      </c>
      <c r="M11" s="2" t="str">
        <f ca="1">IFERROR(_xludf.XLOOKUP(D11,Customers!$C:$C,Customers!$A:$A),"Not Found")</f>
        <v>Not Found</v>
      </c>
      <c r="N11" s="2" t="str">
        <f ca="1">IFERROR(_xludf.XLOOKUP(F11,Products!$B:$B,Products!$A:$A),"Not Found")</f>
        <v>Not Found</v>
      </c>
    </row>
    <row r="12" spans="1:14" ht="30" x14ac:dyDescent="0.25">
      <c r="A12" s="2" t="s">
        <v>72</v>
      </c>
      <c r="B12" s="2" t="s">
        <v>70</v>
      </c>
      <c r="C12" s="2" t="s">
        <v>57</v>
      </c>
      <c r="D12" s="2" t="s">
        <v>58</v>
      </c>
      <c r="E12" s="2" t="s">
        <v>59</v>
      </c>
      <c r="F12" s="2" t="s">
        <v>71</v>
      </c>
      <c r="G12" s="2" t="s">
        <v>20</v>
      </c>
      <c r="H12" s="3">
        <v>29.99</v>
      </c>
      <c r="I12" s="2">
        <v>3</v>
      </c>
      <c r="J12" s="2" t="s">
        <v>21</v>
      </c>
      <c r="K12" s="2" t="s">
        <v>22</v>
      </c>
      <c r="L12" s="3">
        <f>H12*I12</f>
        <v>89.97</v>
      </c>
      <c r="M12" s="2" t="str">
        <f ca="1">IFERROR(_xludf.XLOOKUP(D12,Customers!$C:$C,Customers!$A:$A),"Not Found")</f>
        <v>Not Found</v>
      </c>
      <c r="N12" s="2" t="str">
        <f ca="1">IFERROR(_xludf.XLOOKUP(F12,Products!$B:$B,Products!$A:$A),"Not Found")</f>
        <v>Not Found</v>
      </c>
    </row>
    <row r="13" spans="1:14" x14ac:dyDescent="0.2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20</v>
      </c>
      <c r="H13" s="3">
        <v>12.99</v>
      </c>
      <c r="I13" s="2">
        <v>4</v>
      </c>
      <c r="J13" s="2" t="s">
        <v>21</v>
      </c>
      <c r="K13" s="2" t="s">
        <v>22</v>
      </c>
      <c r="L13" s="3">
        <f>H13*I13</f>
        <v>51.96</v>
      </c>
      <c r="M13" s="2" t="str">
        <f ca="1">IFERROR(_xludf.XLOOKUP(D13,Customers!$C:$C,Customers!$A:$A),"Not Found")</f>
        <v>Not Found</v>
      </c>
      <c r="N13" s="2" t="str">
        <f ca="1">IFERROR(_xludf.XLOOKUP(F13,Products!$B:$B,Products!$A:$A),"Not Found")</f>
        <v>Not Found</v>
      </c>
    </row>
    <row r="14" spans="1:14" ht="30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19</v>
      </c>
      <c r="G14" s="2" t="s">
        <v>20</v>
      </c>
      <c r="H14" s="3">
        <v>12.99</v>
      </c>
      <c r="I14" s="2">
        <v>6</v>
      </c>
      <c r="J14" s="2" t="s">
        <v>21</v>
      </c>
      <c r="K14" s="2" t="s">
        <v>22</v>
      </c>
      <c r="L14" s="3">
        <f>H14*I14</f>
        <v>77.94</v>
      </c>
      <c r="M14" s="2" t="str">
        <f ca="1">IFERROR(_xludf.XLOOKUP(D14,Customers!$C:$C,Customers!$A:$A),"Not Found")</f>
        <v>Not Found</v>
      </c>
      <c r="N14" s="2" t="str">
        <f ca="1">IFERROR(_xludf.XLOOKUP(F14,Products!$B:$B,Products!$A:$A),"Not Found")</f>
        <v>Not Found</v>
      </c>
    </row>
    <row r="15" spans="1:14" x14ac:dyDescent="0.25">
      <c r="A15" s="2" t="s">
        <v>75</v>
      </c>
      <c r="B15" s="2" t="s">
        <v>74</v>
      </c>
      <c r="C15" s="2" t="s">
        <v>25</v>
      </c>
      <c r="D15" s="2" t="s">
        <v>26</v>
      </c>
      <c r="E15" s="2" t="s">
        <v>27</v>
      </c>
      <c r="F15" s="2" t="s">
        <v>19</v>
      </c>
      <c r="G15" s="2" t="s">
        <v>20</v>
      </c>
      <c r="H15" s="3">
        <v>12.99</v>
      </c>
      <c r="I15" s="2">
        <v>8</v>
      </c>
      <c r="J15" s="2" t="s">
        <v>21</v>
      </c>
      <c r="K15" s="2" t="s">
        <v>22</v>
      </c>
      <c r="L15" s="3">
        <f>H15*I15</f>
        <v>103.92</v>
      </c>
      <c r="M15" s="2" t="str">
        <f ca="1">IFERROR(_xludf.XLOOKUP(D15,Customers!$C:$C,Customers!$A:$A),"Not Found")</f>
        <v>Not Found</v>
      </c>
      <c r="N15" s="2" t="str">
        <f ca="1">IFERROR(_xludf.XLOOKUP(F15,Products!$B:$B,Products!$A:$A),"Not Found")</f>
        <v>Not Found</v>
      </c>
    </row>
    <row r="16" spans="1:14" x14ac:dyDescent="0.25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27</v>
      </c>
      <c r="F16" s="2" t="s">
        <v>28</v>
      </c>
      <c r="G16" s="2" t="s">
        <v>20</v>
      </c>
      <c r="H16" s="3">
        <v>24.99</v>
      </c>
      <c r="I16" s="2">
        <v>2</v>
      </c>
      <c r="J16" s="2" t="s">
        <v>29</v>
      </c>
      <c r="K16" s="2" t="s">
        <v>30</v>
      </c>
      <c r="L16" s="3">
        <f>H16*I16</f>
        <v>49.98</v>
      </c>
      <c r="M16" s="2" t="str">
        <f ca="1">IFERROR(_xludf.XLOOKUP(D16,Customers!$C:$C,Customers!$A:$A),"Not Found")</f>
        <v>Not Found</v>
      </c>
      <c r="N16" s="2" t="str">
        <f ca="1">IFERROR(_xludf.XLOOKUP(F16,Products!$B:$B,Products!$A:$A),"Not Found")</f>
        <v>Not Found</v>
      </c>
    </row>
    <row r="17" spans="1:14" x14ac:dyDescent="0.25">
      <c r="A17" s="2" t="s">
        <v>43</v>
      </c>
      <c r="B17" s="2" t="s">
        <v>44</v>
      </c>
      <c r="C17" s="2" t="s">
        <v>45</v>
      </c>
      <c r="D17" s="2" t="s">
        <v>46</v>
      </c>
      <c r="E17" s="2" t="s">
        <v>47</v>
      </c>
      <c r="F17" s="2" t="s">
        <v>28</v>
      </c>
      <c r="G17" s="2" t="s">
        <v>20</v>
      </c>
      <c r="H17" s="3">
        <v>22.99</v>
      </c>
      <c r="I17" s="2">
        <v>1</v>
      </c>
      <c r="J17" s="2" t="s">
        <v>21</v>
      </c>
      <c r="K17" s="2" t="s">
        <v>48</v>
      </c>
      <c r="L17" s="3">
        <f>H17*I17</f>
        <v>22.99</v>
      </c>
      <c r="M17" s="2" t="str">
        <f ca="1">IFERROR(_xludf.XLOOKUP(D17,Customers!$C:$C,Customers!$A:$A),"Not Found")</f>
        <v>Not Found</v>
      </c>
      <c r="N17" s="2" t="str">
        <f ca="1">IFERROR(_xludf.XLOOKUP(F17,Products!$B:$B,Products!$A:$A),"Not Found")</f>
        <v>Not Found</v>
      </c>
    </row>
  </sheetData>
  <conditionalFormatting sqref="L2:L17">
    <cfRule type="cellIs" dxfId="0" priority="1" operator="greaterThan">
      <formula>500</formula>
    </cfRule>
  </conditionalFormatting>
  <dataValidations count="2">
    <dataValidation type="whole" errorTitle="Invalid Quantity" error="Quantity must be a whole number between 1 and 20." sqref="I2:I17" xr:uid="{00000000-0002-0000-0000-000000000000}">
      <formula1>1</formula1>
      <formula2>20</formula2>
    </dataValidation>
    <dataValidation type="list" errorTitle="Invalid Region" error="Region must be one of: North, South, East, West." sqref="K2:K17" xr:uid="{00000000-0002-0000-0000-000001000000}">
      <formula1>"North,South,East,West"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 activeCell="D15" sqref="D15"/>
    </sheetView>
  </sheetViews>
  <sheetFormatPr defaultRowHeight="15" x14ac:dyDescent="0.25"/>
  <cols>
    <col min="1" max="1" width="12" customWidth="1"/>
    <col min="2" max="2" width="18" customWidth="1"/>
    <col min="3" max="3" width="28" customWidth="1"/>
    <col min="4" max="4" width="16" customWidth="1"/>
  </cols>
  <sheetData>
    <row r="1" spans="1:4" x14ac:dyDescent="0.25">
      <c r="A1" s="1" t="s">
        <v>12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76</v>
      </c>
      <c r="B2" t="s">
        <v>16</v>
      </c>
      <c r="C2" t="s">
        <v>17</v>
      </c>
      <c r="D2" t="s">
        <v>18</v>
      </c>
    </row>
    <row r="3" spans="1:4" x14ac:dyDescent="0.25">
      <c r="A3" t="s">
        <v>77</v>
      </c>
      <c r="B3" t="s">
        <v>25</v>
      </c>
      <c r="C3" t="s">
        <v>26</v>
      </c>
      <c r="D3" t="s">
        <v>27</v>
      </c>
    </row>
    <row r="4" spans="1:4" x14ac:dyDescent="0.25">
      <c r="A4" t="s">
        <v>78</v>
      </c>
      <c r="B4" t="s">
        <v>35</v>
      </c>
      <c r="C4" t="s">
        <v>36</v>
      </c>
      <c r="D4" t="s">
        <v>37</v>
      </c>
    </row>
    <row r="5" spans="1:4" x14ac:dyDescent="0.25">
      <c r="A5" t="s">
        <v>79</v>
      </c>
      <c r="B5" t="s">
        <v>45</v>
      </c>
      <c r="C5" t="s">
        <v>46</v>
      </c>
      <c r="D5" t="s">
        <v>47</v>
      </c>
    </row>
    <row r="6" spans="1:4" x14ac:dyDescent="0.25">
      <c r="A6" t="s">
        <v>80</v>
      </c>
      <c r="B6" t="s">
        <v>50</v>
      </c>
      <c r="C6" t="s">
        <v>51</v>
      </c>
      <c r="D6" t="s">
        <v>52</v>
      </c>
    </row>
    <row r="7" spans="1:4" x14ac:dyDescent="0.25">
      <c r="A7" t="s">
        <v>81</v>
      </c>
      <c r="B7" t="s">
        <v>57</v>
      </c>
      <c r="C7" t="s">
        <v>58</v>
      </c>
      <c r="D7" t="s">
        <v>59</v>
      </c>
    </row>
    <row r="8" spans="1:4" x14ac:dyDescent="0.25">
      <c r="A8" t="s">
        <v>82</v>
      </c>
      <c r="B8" t="s">
        <v>63</v>
      </c>
      <c r="C8" t="s">
        <v>64</v>
      </c>
      <c r="D8" t="s">
        <v>65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1" width="10" customWidth="1"/>
    <col min="2" max="2" width="18" customWidth="1"/>
    <col min="3" max="3" width="14" customWidth="1"/>
    <col min="4" max="4" width="10" customWidth="1"/>
  </cols>
  <sheetData>
    <row r="1" spans="1:4" x14ac:dyDescent="0.25">
      <c r="A1" s="1" t="s">
        <v>13</v>
      </c>
      <c r="B1" s="1" t="s">
        <v>5</v>
      </c>
      <c r="C1" s="1" t="s">
        <v>6</v>
      </c>
      <c r="D1" s="1" t="s">
        <v>7</v>
      </c>
    </row>
    <row r="2" spans="1:4" x14ac:dyDescent="0.25">
      <c r="A2" t="s">
        <v>83</v>
      </c>
      <c r="B2" t="s">
        <v>19</v>
      </c>
      <c r="C2" t="s">
        <v>20</v>
      </c>
      <c r="D2" s="4">
        <v>12.99</v>
      </c>
    </row>
    <row r="3" spans="1:4" x14ac:dyDescent="0.25">
      <c r="A3" t="s">
        <v>84</v>
      </c>
      <c r="B3" t="s">
        <v>28</v>
      </c>
      <c r="C3" t="s">
        <v>20</v>
      </c>
      <c r="D3" s="4">
        <v>24.99</v>
      </c>
    </row>
    <row r="4" spans="1:4" x14ac:dyDescent="0.25">
      <c r="A4" t="s">
        <v>85</v>
      </c>
      <c r="B4" t="s">
        <v>32</v>
      </c>
      <c r="C4" t="s">
        <v>20</v>
      </c>
      <c r="D4" s="4">
        <v>39.99</v>
      </c>
    </row>
    <row r="5" spans="1:4" x14ac:dyDescent="0.25">
      <c r="A5" t="s">
        <v>86</v>
      </c>
      <c r="B5" t="s">
        <v>38</v>
      </c>
      <c r="C5" t="s">
        <v>20</v>
      </c>
      <c r="D5" s="4">
        <v>18.5</v>
      </c>
    </row>
    <row r="6" spans="1:4" x14ac:dyDescent="0.25">
      <c r="A6" t="s">
        <v>87</v>
      </c>
      <c r="B6" t="s">
        <v>42</v>
      </c>
      <c r="C6" t="s">
        <v>20</v>
      </c>
      <c r="D6" s="4">
        <v>49.99</v>
      </c>
    </row>
    <row r="7" spans="1:4" x14ac:dyDescent="0.25">
      <c r="A7" t="s">
        <v>88</v>
      </c>
      <c r="B7" t="s">
        <v>53</v>
      </c>
      <c r="C7" t="s">
        <v>54</v>
      </c>
      <c r="D7" s="4">
        <v>149.99</v>
      </c>
    </row>
    <row r="8" spans="1:4" x14ac:dyDescent="0.25">
      <c r="A8" t="s">
        <v>89</v>
      </c>
      <c r="B8" t="s">
        <v>71</v>
      </c>
      <c r="C8" t="s">
        <v>20</v>
      </c>
      <c r="D8" s="4">
        <v>29.99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Orders_Raw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Zhang</cp:lastModifiedBy>
  <dcterms:created xsi:type="dcterms:W3CDTF">2026-01-16T04:26:04Z</dcterms:created>
  <dcterms:modified xsi:type="dcterms:W3CDTF">2026-01-16T04:40:00Z</dcterms:modified>
</cp:coreProperties>
</file>